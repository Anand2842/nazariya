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UnitCost" sheetId="3" state="visible" r:id="rId3"/>
    <sheet xmlns:r="http://schemas.openxmlformats.org/officeDocument/2006/relationships" name="PriceList" sheetId="4" state="visible" r:id="rId4"/>
    <sheet xmlns:r="http://schemas.openxmlformats.org/officeDocument/2006/relationships" name="Plans" sheetId="5" state="visible" r:id="rId5"/>
    <sheet xmlns:r="http://schemas.openxmlformats.org/officeDocument/2006/relationships" name="Competitors" sheetId="6" state="visible" r:id="rId6"/>
    <sheet xmlns:r="http://schemas.openxmlformats.org/officeDocument/2006/relationships" name="Plan12M" sheetId="7" state="visible" r:id="rId7"/>
    <sheet xmlns:r="http://schemas.openxmlformats.org/officeDocument/2006/relationships" name="BreakEv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/>
    <font>
      <color rgb="001F4E9E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top" wrapText="1"/>
    </xf>
    <xf numFmtId="3" fontId="3" fillId="0" borderId="0" pivotButton="0" quotePrefix="0" xfId="0"/>
    <xf numFmtId="9" fontId="3" fillId="0" borderId="0" pivotButton="0" quotePrefix="0" xfId="0"/>
    <xf numFmtId="4" fontId="3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Nazariya: unit pricing and unit economics (all prices in ₹, excluding 18% GST)</t>
        </is>
      </c>
    </row>
    <row r="2">
      <c r="A2" s="2" t="inlineStr"/>
    </row>
    <row r="3">
      <c r="A3" s="2" t="inlineStr">
        <is>
          <t>How to use: change any BLUE number on 'Inputs' or 'Plan12M'. Everything else is a formula and recalculates.</t>
        </is>
      </c>
    </row>
    <row r="4">
      <c r="A4" s="2" t="inlineStr">
        <is>
          <t>Sheets: Inputs → UnitCost (what one unit costs us) → PriceList (what we charge, margin) → Plans (SaaS tiers) →</t>
        </is>
      </c>
    </row>
    <row r="5">
      <c r="A5" s="2" t="inlineStr">
        <is>
          <t>Competitors (public price points with sources) → Plan12M (12-month revenue, costs, cash) → BreakEven.</t>
        </is>
      </c>
    </row>
    <row r="6">
      <c r="A6" s="2" t="inlineStr"/>
    </row>
    <row r="7">
      <c r="A7" s="2" t="inlineStr">
        <is>
          <t>Measured on this app: stitching time per room (14.9 s), raw capture size (3.9 MB / room), published size (~1 MB / room).</t>
        </is>
      </c>
    </row>
    <row r="8">
      <c r="A8" s="2" t="inlineStr">
        <is>
          <t>NOT measured yet: GPU minutes per 3D walkthrough (recon scripts have never run on a GPU), real visitor numbers,</t>
        </is>
      </c>
    </row>
    <row r="9">
      <c r="A9" s="2" t="inlineStr">
        <is>
          <t>capturer productivity. Treat those as assumptions until the first 20 paid jobs.</t>
        </is>
      </c>
    </row>
    <row r="10">
      <c r="A10" s="2" t="inlineStr">
        <is>
          <t>Competitor prices are public or third-party figures and often conflict; see the Confidence column.</t>
        </is>
      </c>
    </row>
    <row r="11">
      <c r="A11" s="2" t="inlineStr">
        <is>
          <t>Built 2026-10-17 by tools/build_pricing.py.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2" customWidth="1" min="2" max="2"/>
    <col width="12" customWidth="1" min="3" max="3"/>
    <col width="20" customWidth="1" min="4" max="4"/>
    <col width="70" customWidth="1" min="5" max="5"/>
  </cols>
  <sheetData>
    <row r="1">
      <c r="A1" s="3" t="inlineStr">
        <is>
          <t>Input</t>
        </is>
      </c>
      <c r="B1" s="3" t="inlineStr"/>
      <c r="C1" s="3" t="inlineStr">
        <is>
          <t>Value</t>
        </is>
      </c>
      <c r="D1" s="3" t="inlineStr">
        <is>
          <t>Unit</t>
        </is>
      </c>
      <c r="E1" s="3" t="inlineStr">
        <is>
          <t>Source / confidence</t>
        </is>
      </c>
    </row>
    <row r="2">
      <c r="A2" s="1" t="inlineStr">
        <is>
          <t>General</t>
        </is>
      </c>
    </row>
    <row r="3">
      <c r="A3" t="inlineStr">
        <is>
          <t>Exchange rate</t>
        </is>
      </c>
      <c r="C3" s="4" t="n">
        <v>88</v>
      </c>
      <c r="D3" t="inlineStr">
        <is>
          <t>Planning assumption (same as research docs)</t>
        </is>
      </c>
    </row>
    <row r="4">
      <c r="A4" t="inlineStr">
        <is>
          <t>GST on our invoices (not included in prices)</t>
        </is>
      </c>
      <c r="C4" s="5" t="n">
        <v>0.18</v>
      </c>
      <c r="D4" t="inlineStr">
        <is>
          <t>India GST on SaaS / services</t>
        </is>
      </c>
    </row>
    <row r="5">
      <c r="A5" t="inlineStr">
        <is>
          <t>Rooms in a typical 2BHK tour</t>
        </is>
      </c>
      <c r="C5" s="4" t="n">
        <v>6</v>
      </c>
      <c r="D5" t="inlineStr">
        <is>
          <t>2 bed + living + kitchen + 2 bath (research doc)</t>
        </is>
      </c>
    </row>
    <row r="6">
      <c r="A6" t="inlineStr">
        <is>
          <t>Carpet area of a typical 2BHK</t>
        </is>
      </c>
      <c r="C6" s="4" t="n">
        <v>900</v>
      </c>
      <c r="D6" t="inlineStr">
        <is>
          <t>Assumption</t>
        </is>
      </c>
    </row>
    <row r="7">
      <c r="A7" s="1" t="inlineStr">
        <is>
          <t>Processing &amp; hosting (measured on this app)</t>
        </is>
      </c>
    </row>
    <row r="8">
      <c r="A8" t="inlineStr">
        <is>
          <t>CPU time to stitch one 30-shot room</t>
        </is>
      </c>
      <c r="C8" s="4" t="n">
        <v>15</v>
      </c>
      <c r="D8" t="inlineStr">
        <is>
          <t>MEASURED: your room 'Hc' stitched in 14.9 s</t>
        </is>
      </c>
    </row>
    <row r="9">
      <c r="A9" t="inlineStr">
        <is>
          <t>Overhead multiplier (tiles, thumbnails, retries)</t>
        </is>
      </c>
      <c r="C9" s="4" t="n">
        <v>2</v>
      </c>
      <c r="D9" t="inlineStr">
        <is>
          <t>Assumption</t>
        </is>
      </c>
    </row>
    <row r="10">
      <c r="A10" t="inlineStr">
        <is>
          <t>Cloud CPU price</t>
        </is>
      </c>
      <c r="C10" s="6" t="n">
        <v>0.04</v>
      </c>
      <c r="D10" t="inlineStr">
        <is>
          <t>Assumption: typical on-demand cloud vCPU; verify with provider</t>
        </is>
      </c>
    </row>
    <row r="11">
      <c r="A11" t="inlineStr">
        <is>
          <t>Raw capture kept per room (30 photos)</t>
        </is>
      </c>
      <c r="C11" s="6" t="n">
        <v>3.9</v>
      </c>
      <c r="D11" t="inlineStr">
        <is>
          <t>MEASURED: priv/capture/mt7wn6pvq9aj = 3.9 MB</t>
        </is>
      </c>
    </row>
    <row r="12">
      <c r="A12" t="inlineStr">
        <is>
          <t>Depth points per room (depth mode only)</t>
        </is>
      </c>
      <c r="C12" s="4" t="n">
        <v>6</v>
      </c>
      <c r="D12" t="inlineStr">
        <is>
          <t>App limit is 8 MB per room</t>
        </is>
      </c>
    </row>
    <row r="13">
      <c r="A13" t="inlineStr">
        <is>
          <t>Published files per room (panorama + tiles)</t>
        </is>
      </c>
      <c r="C13" s="6" t="n">
        <v>1</v>
      </c>
      <c r="D13" t="inlineStr">
        <is>
          <t>MEASURED: 29 MB for 30 published panoramas</t>
        </is>
      </c>
    </row>
    <row r="14">
      <c r="A14" t="inlineStr">
        <is>
          <t>Months raw captures are kept</t>
        </is>
      </c>
      <c r="C14" s="4" t="n">
        <v>3</v>
      </c>
      <c r="D14" t="inlineStr">
        <is>
          <t>Policy (DPDP minimisation, PRODUCTION.md)</t>
        </is>
      </c>
    </row>
    <row r="15">
      <c r="A15" t="inlineStr">
        <is>
          <t>Object storage (Cloudflare R2 Standard)</t>
        </is>
      </c>
      <c r="C15" s="6" t="n">
        <v>0.015</v>
      </c>
      <c r="D15" t="inlineStr">
        <is>
          <t>developers.cloudflare.com/r2/pricing (egress free)</t>
        </is>
      </c>
    </row>
    <row r="16">
      <c r="A16" t="inlineStr">
        <is>
          <t>Storage read requests (R2 Class B)</t>
        </is>
      </c>
      <c r="C16" s="6" t="n">
        <v>0.36</v>
      </c>
      <c r="D16" t="inlineStr">
        <is>
          <t>developers.cloudflare.com/r2/pricing</t>
        </is>
      </c>
    </row>
    <row r="17">
      <c r="A17" t="inlineStr">
        <is>
          <t>Visitor sessions per tour per month</t>
        </is>
      </c>
      <c r="C17" s="4" t="n">
        <v>300</v>
      </c>
      <c r="D17" t="inlineStr">
        <is>
          <t>Assumption: replace with real analytics</t>
        </is>
      </c>
    </row>
    <row r="18">
      <c r="A18" t="inlineStr">
        <is>
          <t>File requests per visitor session</t>
        </is>
      </c>
      <c r="C18" s="4" t="n">
        <v>15</v>
      </c>
      <c r="D18" t="inlineStr">
        <is>
          <t>Assumption (tiles + JSON)</t>
        </is>
      </c>
    </row>
    <row r="19">
      <c r="A19" s="1" t="inlineStr">
        <is>
          <t>3D walkthrough (GPU)</t>
        </is>
      </c>
    </row>
    <row r="20">
      <c r="A20" t="inlineStr">
        <is>
          <t>GPU rental (RTX 4090, RunPod Secure Cloud)</t>
        </is>
      </c>
      <c r="C20" s="6" t="n">
        <v>0.6899999999999999</v>
      </c>
      <c r="D20" t="inlineStr">
        <is>
          <t>RunPod ~US$0.69 secure / ~0.34 community (third-party 2026 listings)</t>
        </is>
      </c>
    </row>
    <row r="21">
      <c r="A21" t="inlineStr">
        <is>
          <t>GPU minutes per home walkthrough</t>
        </is>
      </c>
      <c r="C21" s="4" t="n">
        <v>40</v>
      </c>
      <c r="D21" t="inlineStr">
        <is>
          <t>Assumption: NOT measured, recon scripts never run on a GPU yet</t>
        </is>
      </c>
    </row>
    <row r="22">
      <c r="A22" t="inlineStr">
        <is>
          <t>Retry / failed-run allowance</t>
        </is>
      </c>
      <c r="C22" s="5" t="n">
        <v>0.3</v>
      </c>
      <c r="D22" t="inlineStr">
        <is>
          <t>Assumption</t>
        </is>
      </c>
    </row>
    <row r="23">
      <c r="A23" t="inlineStr">
        <is>
          <t>Walkthrough photos kept (dataset)</t>
        </is>
      </c>
      <c r="C23" s="4" t="n">
        <v>120</v>
      </c>
      <c r="D23" t="inlineStr">
        <is>
          <t>~400 keyframes x 0.3 MB</t>
        </is>
      </c>
    </row>
    <row r="24">
      <c r="A24" t="inlineStr">
        <is>
          <t>Published 3D scene size</t>
        </is>
      </c>
      <c r="C24" s="4" t="n">
        <v>40</v>
      </c>
      <c r="D24" t="inlineStr">
        <is>
          <t>Assumption (demo splats avg 4.5 MB per room)</t>
        </is>
      </c>
    </row>
    <row r="25">
      <c r="A25" s="1" t="inlineStr">
        <is>
          <t>Done-for-you capture (our team shoots)</t>
        </is>
      </c>
    </row>
    <row r="26">
      <c r="A26" t="inlineStr">
        <is>
          <t>Field capturer cost (salary + conveyance)</t>
        </is>
      </c>
      <c r="C26" s="4" t="n">
        <v>30000</v>
      </c>
      <c r="D26" t="inlineStr">
        <is>
          <t>Assumption: ₹25k salary + ₹5k travel (research doc)</t>
        </is>
      </c>
    </row>
    <row r="27">
      <c r="A27" t="inlineStr">
        <is>
          <t>Homes one capturer shoots per day</t>
        </is>
      </c>
      <c r="C27" s="4" t="n">
        <v>4</v>
      </c>
      <c r="D27" t="inlineStr">
        <is>
          <t>Assumption: clustered localities</t>
        </is>
      </c>
    </row>
    <row r="28">
      <c r="A28" t="inlineStr">
        <is>
          <t>Working days per month</t>
        </is>
      </c>
      <c r="C28" s="4" t="n">
        <v>24</v>
      </c>
      <c r="D28" t="inlineStr"/>
    </row>
    <row r="29">
      <c r="A29" t="inlineStr">
        <is>
          <t>Local travel per visit</t>
        </is>
      </c>
      <c r="C29" s="4" t="n">
        <v>150</v>
      </c>
      <c r="D29" t="inlineStr">
        <is>
          <t>Assumption</t>
        </is>
      </c>
    </row>
    <row r="30">
      <c r="A30" t="inlineStr">
        <is>
          <t>360 camera (Insta360 X5) for hard rooms</t>
        </is>
      </c>
      <c r="C30" s="4" t="n">
        <v>54990</v>
      </c>
      <c r="D30" t="inlineStr">
        <is>
          <t>Insta360 X5 India launch price ₹54,990</t>
        </is>
      </c>
    </row>
    <row r="31">
      <c r="A31" t="inlineStr">
        <is>
          <t>Captures per camera before replacement</t>
        </is>
      </c>
      <c r="C31" s="4" t="n">
        <v>600</v>
      </c>
      <c r="D31" t="inlineStr">
        <is>
          <t>Assumption</t>
        </is>
      </c>
    </row>
    <row r="32">
      <c r="A32" t="inlineStr">
        <is>
          <t>Ops review time per home (hotspots, floor plan, QA)</t>
        </is>
      </c>
      <c r="C32" s="4" t="n">
        <v>30</v>
      </c>
      <c r="D32" t="inlineStr">
        <is>
          <t>Assumption</t>
        </is>
      </c>
    </row>
    <row r="33">
      <c r="A33" t="inlineStr">
        <is>
          <t>Ops staff cost</t>
        </is>
      </c>
      <c r="C33" s="4" t="n">
        <v>250</v>
      </c>
      <c r="D33" t="inlineStr">
        <is>
          <t>Assumption</t>
        </is>
      </c>
    </row>
    <row r="34">
      <c r="A34" s="1" t="inlineStr">
        <is>
          <t>Selling &amp; payments</t>
        </is>
      </c>
    </row>
    <row r="35">
      <c r="A35" t="inlineStr">
        <is>
          <t>Payment gateway fee</t>
        </is>
      </c>
      <c r="C35" s="5" t="n">
        <v>0.02</v>
      </c>
      <c r="D35" t="inlineStr">
        <is>
          <t>Assumption: ~2% standard Indian gateway rate; verify</t>
        </is>
      </c>
    </row>
    <row r="36">
      <c r="A36" t="inlineStr">
        <is>
          <t>Sales commission on service deals</t>
        </is>
      </c>
      <c r="C36" s="5" t="n">
        <v>0.1</v>
      </c>
      <c r="D36" t="inlineStr">
        <is>
          <t>Policy proposal</t>
        </is>
      </c>
    </row>
    <row r="37">
      <c r="A37" t="inlineStr">
        <is>
          <t>OTP SMS price</t>
        </is>
      </c>
      <c r="C37" s="6" t="n">
        <v>0.2</v>
      </c>
      <c r="D37" t="inlineStr">
        <is>
          <t>MSG91 ~₹0.15-0.25 (third-party 2026 comparisons)</t>
        </is>
      </c>
    </row>
    <row r="38">
      <c r="A38" t="inlineStr">
        <is>
          <t>Logins per customer per month</t>
        </is>
      </c>
      <c r="C38" s="4" t="n">
        <v>15</v>
      </c>
      <c r="D38" t="inlineStr">
        <is>
          <t>Assumption</t>
        </is>
      </c>
    </row>
    <row r="39">
      <c r="A39" t="inlineStr">
        <is>
          <t>Support cost, Starter customer</t>
        </is>
      </c>
      <c r="C39" s="4" t="n">
        <v>100</v>
      </c>
      <c r="D39" t="inlineStr">
        <is>
          <t>Assumption</t>
        </is>
      </c>
    </row>
    <row r="40">
      <c r="A40" t="inlineStr">
        <is>
          <t>Support cost, Pro customer</t>
        </is>
      </c>
      <c r="C40" s="4" t="n">
        <v>400</v>
      </c>
      <c r="D40" t="inlineStr">
        <is>
          <t>Assumption</t>
        </is>
      </c>
    </row>
    <row r="41">
      <c r="A41" t="inlineStr">
        <is>
          <t>Support cost, Business customer</t>
        </is>
      </c>
      <c r="C41" s="4" t="n">
        <v>1500</v>
      </c>
      <c r="D41" t="inlineStr">
        <is>
          <t>Assumption</t>
        </is>
      </c>
    </row>
    <row r="42">
      <c r="A42" t="inlineStr">
        <is>
          <t>Support cost, Enterprise customer</t>
        </is>
      </c>
      <c r="C42" s="4" t="n">
        <v>8000</v>
      </c>
      <c r="D42" t="inlineStr">
        <is>
          <t>Assumption</t>
        </is>
      </c>
    </row>
    <row r="43">
      <c r="A43" t="inlineStr">
        <is>
          <t>Share of a plan's tours re-captured each month</t>
        </is>
      </c>
      <c r="C43" s="5" t="n">
        <v>0.2</v>
      </c>
      <c r="D43" t="inlineStr">
        <is>
          <t>Assumption (listings turn over)</t>
        </is>
      </c>
    </row>
    <row r="44">
      <c r="A44" s="1" t="inlineStr">
        <is>
          <t>Fixed monthly costs (lean start)</t>
        </is>
      </c>
    </row>
    <row r="45">
      <c r="A45" t="inlineStr">
        <is>
          <t>Cloud: database, app, worker, storage, monitoring</t>
        </is>
      </c>
      <c r="C45" s="4" t="n">
        <v>25000</v>
      </c>
      <c r="D45" t="inlineStr">
        <is>
          <t>Research doc range ₹15k-40k</t>
        </is>
      </c>
    </row>
    <row r="46">
      <c r="A46" t="inlineStr">
        <is>
          <t>SaaS tools, domain, email</t>
        </is>
      </c>
      <c r="C46" s="4" t="n">
        <v>5000</v>
      </c>
      <c r="D46" t="inlineStr">
        <is>
          <t>Assumption</t>
        </is>
      </c>
    </row>
    <row r="47">
      <c r="A47" t="inlineStr">
        <is>
          <t>Accountant / compliance (CA, GST filing)</t>
        </is>
      </c>
      <c r="C47" s="4" t="n">
        <v>6000</v>
      </c>
      <c r="D47" t="inlineStr">
        <is>
          <t>Assumption</t>
        </is>
      </c>
    </row>
    <row r="48">
      <c r="A48" t="inlineStr">
        <is>
          <t>Marketing (ads, demo flats, travel)</t>
        </is>
      </c>
      <c r="C48" s="4" t="n">
        <v>25000</v>
      </c>
      <c r="D48" t="inlineStr">
        <is>
          <t>Assumption</t>
        </is>
      </c>
    </row>
    <row r="49">
      <c r="A49" t="inlineStr">
        <is>
          <t>Starting cash (founder money)</t>
        </is>
      </c>
      <c r="C49" s="4" t="n">
        <v>300000</v>
      </c>
      <c r="D49" t="inlineStr">
        <is>
          <t>Assumption: change to your real number</t>
        </is>
      </c>
    </row>
    <row r="50">
      <c r="A50" t="inlineStr">
        <is>
          <t>Sales volume scale for Plan12M (1 = plan, 0.5 = downside)</t>
        </is>
      </c>
      <c r="C50" s="4" t="n">
        <v>1</v>
      </c>
      <c r="D50" t="inlineStr">
        <is>
          <t>Scenario switch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2" customWidth="1" min="2" max="2"/>
    <col width="12" customWidth="1" min="3" max="3"/>
    <col width="22" customWidth="1" min="4" max="4"/>
    <col width="40" customWidth="1" min="5" max="5"/>
  </cols>
  <sheetData>
    <row r="1">
      <c r="A1" s="3" t="inlineStr">
        <is>
          <t>Cost item</t>
        </is>
      </c>
      <c r="B1" s="3" t="inlineStr"/>
      <c r="C1" s="3" t="inlineStr">
        <is>
          <t>₹</t>
        </is>
      </c>
      <c r="D1" s="3" t="inlineStr">
        <is>
          <t>Unit</t>
        </is>
      </c>
      <c r="E1" s="3" t="inlineStr">
        <is>
          <t>How</t>
        </is>
      </c>
    </row>
    <row r="2">
      <c r="A2" t="inlineStr">
        <is>
          <t>Processing one room (CPU)</t>
        </is>
      </c>
      <c r="C2" s="7">
        <f>Inputs!$C$8*Inputs!$C$9/3600*Inputs!$C$10*Inputs!$C$3</f>
        <v/>
      </c>
      <c r="D2" t="inlineStr">
        <is>
          <t>CPU seconds x price</t>
        </is>
      </c>
    </row>
    <row r="3">
      <c r="A3" t="inlineStr">
        <is>
          <t>Keeping raw photos + depth for the retention period</t>
        </is>
      </c>
      <c r="C3" s="7">
        <f>(Inputs!$C$11+Inputs!$C$12)/1024*Inputs!$C$15*Inputs!$C$14*Inputs!$C$3</f>
        <v/>
      </c>
      <c r="D3" t="inlineStr">
        <is>
          <t>MB -&gt; GB x months</t>
        </is>
      </c>
    </row>
    <row r="4">
      <c r="A4" t="inlineStr">
        <is>
          <t>Hosting one published room for a month</t>
        </is>
      </c>
      <c r="C4" s="7">
        <f>Inputs!$C$13/1024*Inputs!$C$15*Inputs!$C$3</f>
        <v/>
      </c>
      <c r="D4" t="inlineStr"/>
    </row>
    <row r="5">
      <c r="A5" t="inlineStr">
        <is>
          <t>Delivering a tour to visitors for a month</t>
        </is>
      </c>
      <c r="C5" s="7">
        <f>Inputs!$C$17*Inputs!$C$18/1000000*Inputs!$C$16*Inputs!$C$3</f>
        <v/>
      </c>
      <c r="D5" t="inlineStr">
        <is>
          <t>Egress is free on R2</t>
        </is>
      </c>
    </row>
    <row r="6">
      <c r="A6" t="inlineStr">
        <is>
          <t>One 360° room, self-captured, hosted 12 months</t>
        </is>
      </c>
      <c r="C6" s="7">
        <f>$C$2+$C$3+12*$C$4</f>
        <v/>
      </c>
      <c r="D6" t="inlineStr"/>
    </row>
    <row r="7">
      <c r="A7" t="inlineStr">
        <is>
          <t>Home tour, self-captured (6 rooms), 12 months</t>
        </is>
      </c>
      <c r="C7" s="7">
        <f>Inputs!$C$5*$C$6+12*$C$5</f>
        <v/>
      </c>
      <c r="D7" t="inlineStr">
        <is>
          <t>Software cost is close to zero</t>
        </is>
      </c>
    </row>
    <row r="8">
      <c r="A8" t="inlineStr">
        <is>
          <t>Capturer time per home</t>
        </is>
      </c>
      <c r="C8" s="7">
        <f>Inputs!$C$26/(Inputs!$C$27*Inputs!$C$28)</f>
        <v/>
      </c>
      <c r="D8" t="inlineStr"/>
    </row>
    <row r="9">
      <c r="A9" t="inlineStr">
        <is>
          <t>Camera wear per home</t>
        </is>
      </c>
      <c r="C9" s="7">
        <f>Inputs!$C$30/Inputs!$C$31</f>
        <v/>
      </c>
      <c r="D9" t="inlineStr"/>
    </row>
    <row r="10">
      <c r="A10" t="inlineStr">
        <is>
          <t>Ops review per home</t>
        </is>
      </c>
      <c r="C10" s="7">
        <f>Inputs!$C$32/60*Inputs!$C$33</f>
        <v/>
      </c>
      <c r="D10" t="inlineStr"/>
    </row>
    <row r="11">
      <c r="A11" t="inlineStr">
        <is>
          <t>Home tour, done-for-you (we shoot), 12 months</t>
        </is>
      </c>
      <c r="C11" s="7">
        <f>$C$7+$C$8+Inputs!$C$29+$C$9+$C$10</f>
        <v/>
      </c>
      <c r="D11" t="inlineStr">
        <is>
          <t>People cost dominates</t>
        </is>
      </c>
    </row>
    <row r="12">
      <c r="A12" t="inlineStr">
        <is>
          <t>GPU training for one 3D walkthrough</t>
        </is>
      </c>
      <c r="C12" s="7">
        <f>Inputs!$C$21/60*Inputs!$C$20*Inputs!$C$3*(1+Inputs!$C$22)</f>
        <v/>
      </c>
      <c r="D12" t="inlineStr">
        <is>
          <t>Not yet measured</t>
        </is>
      </c>
    </row>
    <row r="13">
      <c r="A13" t="inlineStr">
        <is>
          <t>Storing walkthrough dataset + 3D scene</t>
        </is>
      </c>
      <c r="C13" s="7">
        <f>(Inputs!$C$23*Inputs!$C$14+Inputs!$C$24*12)/1024*Inputs!$C$15*Inputs!$C$3</f>
        <v/>
      </c>
      <c r="D13" t="inlineStr"/>
    </row>
    <row r="14">
      <c r="A14" t="inlineStr">
        <is>
          <t>3D walkthrough, total direct cost</t>
        </is>
      </c>
      <c r="C14" s="7">
        <f>$C$12+$C$13</f>
        <v/>
      </c>
      <c r="D14" t="inlineStr"/>
    </row>
    <row r="15">
      <c r="A15" t="inlineStr">
        <is>
          <t>Hosting one live home tour for a month</t>
        </is>
      </c>
      <c r="C15" s="7">
        <f>Inputs!$C$5*$C$4+$C$5</f>
        <v/>
      </c>
      <c r="D15" t="inlineStr"/>
    </row>
    <row r="16">
      <c r="A16" t="inlineStr">
        <is>
          <t>Login SMS per customer per month</t>
        </is>
      </c>
      <c r="C16" s="7">
        <f>Inputs!$C$37*Inputs!$C$38</f>
        <v/>
      </c>
      <c r="D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8" customWidth="1" min="2" max="2"/>
    <col width="14" customWidth="1" min="3" max="3"/>
    <col width="13" customWidth="1" min="4" max="4"/>
    <col width="12" customWidth="1" min="5" max="5"/>
    <col width="14" customWidth="1" min="6" max="6"/>
    <col width="14" customWidth="1" min="7" max="7"/>
    <col width="10" customWidth="1" min="8" max="8"/>
    <col width="16" customWidth="1" min="9" max="9"/>
    <col width="14" customWidth="1" min="10" max="10"/>
    <col width="44" customWidth="1" min="11" max="11"/>
  </cols>
  <sheetData>
    <row r="1">
      <c r="A1" s="3" t="inlineStr">
        <is>
          <t>Product</t>
        </is>
      </c>
      <c r="B1" s="3" t="inlineStr">
        <is>
          <t>Unit</t>
        </is>
      </c>
      <c r="C1" s="3" t="inlineStr">
        <is>
          <t>Price ₹ (ex-GST)</t>
        </is>
      </c>
      <c r="D1" s="3" t="inlineStr">
        <is>
          <t>Direct cost ₹</t>
        </is>
      </c>
      <c r="E1" s="3" t="inlineStr">
        <is>
          <t>Payment fee ₹</t>
        </is>
      </c>
      <c r="F1" s="3" t="inlineStr">
        <is>
          <t>Sales commission ₹</t>
        </is>
      </c>
      <c r="G1" s="3" t="inlineStr">
        <is>
          <t>Contribution ₹</t>
        </is>
      </c>
      <c r="H1" s="3" t="inlineStr">
        <is>
          <t>Margin %</t>
        </is>
      </c>
      <c r="I1" s="3" t="inlineStr">
        <is>
          <t>Price incl. 18% GST ₹</t>
        </is>
      </c>
      <c r="J1" s="3" t="inlineStr">
        <is>
          <t>₹ per sq ft (2BHK)</t>
        </is>
      </c>
      <c r="K1" s="3" t="inlineStr">
        <is>
          <t>Notes</t>
        </is>
      </c>
    </row>
    <row r="2">
      <c r="A2" t="inlineStr">
        <is>
          <t>DIY home tour (self-capture in app, ≤8 rooms, floor plan, embed, 12 months)</t>
        </is>
      </c>
      <c r="B2" t="inlineStr">
        <is>
          <t>per home / year</t>
        </is>
      </c>
      <c r="C2" s="4" t="n">
        <v>999</v>
      </c>
      <c r="D2" s="8">
        <f>UnitCost!$C$7</f>
        <v/>
      </c>
      <c r="E2" s="8">
        <f>C2*Inputs!$C$35</f>
        <v/>
      </c>
      <c r="F2" s="4" t="n">
        <v>0</v>
      </c>
      <c r="G2" s="8">
        <f>C2-D2-E2-F2</f>
        <v/>
      </c>
      <c r="H2" s="9">
        <f>G2/C2</f>
        <v/>
      </c>
      <c r="I2" s="8">
        <f>C2*(1+Inputs!$C$4)</f>
        <v/>
      </c>
      <c r="J2" s="8">
        <f>C2/Inputs!$C$6</f>
        <v/>
      </c>
      <c r="K2" t="inlineStr">
        <is>
          <t>Brokers, owners, PG/co-living operators</t>
        </is>
      </c>
    </row>
    <row r="3">
      <c r="A3" t="inlineStr">
        <is>
          <t>Extra room on a DIY tour</t>
        </is>
      </c>
      <c r="B3" t="inlineStr">
        <is>
          <t>per room</t>
        </is>
      </c>
      <c r="C3" s="4" t="n">
        <v>149</v>
      </c>
      <c r="D3" s="8">
        <f>UnitCost!$C$6</f>
        <v/>
      </c>
      <c r="E3" s="8">
        <f>C3*Inputs!$C$35</f>
        <v/>
      </c>
      <c r="F3" s="4" t="n">
        <v>0</v>
      </c>
      <c r="G3" s="8">
        <f>C3-D3-E3-F3</f>
        <v/>
      </c>
      <c r="H3" s="9">
        <f>G3/C3</f>
        <v/>
      </c>
      <c r="I3" s="8">
        <f>C3*(1+Inputs!$C$4)</f>
        <v/>
      </c>
      <c r="J3" t="inlineStr"/>
      <c r="K3" t="inlineStr"/>
    </row>
    <row r="4">
      <c r="A4" t="inlineStr">
        <is>
          <t>Done-for-you home tour (we shoot, up to 3BHK)</t>
        </is>
      </c>
      <c r="B4" t="inlineStr">
        <is>
          <t>per home</t>
        </is>
      </c>
      <c r="C4" s="4" t="n">
        <v>4999</v>
      </c>
      <c r="D4" s="8">
        <f>UnitCost!$C$11</f>
        <v/>
      </c>
      <c r="E4" s="8">
        <f>C4*Inputs!$C$35</f>
        <v/>
      </c>
      <c r="F4" s="8">
        <f>C4*Inputs!$C$36</f>
        <v/>
      </c>
      <c r="G4" s="8">
        <f>C4-D4-E4-F4</f>
        <v/>
      </c>
      <c r="H4" s="9">
        <f>G4/C4</f>
        <v/>
      </c>
      <c r="I4" s="8">
        <f>C4*(1+Inputs!$C$4)</f>
        <v/>
      </c>
      <c r="J4" s="8">
        <f>C4/Inputs!$C$6</f>
        <v/>
      </c>
      <c r="K4" t="inlineStr">
        <is>
          <t>Fast cash: brokers, builders' resale, rentals</t>
        </is>
      </c>
    </row>
    <row r="5">
      <c r="A5" t="inlineStr">
        <is>
          <t>Done-for-you large home / villa (≤15 rooms)</t>
        </is>
      </c>
      <c r="B5" t="inlineStr">
        <is>
          <t>per home</t>
        </is>
      </c>
      <c r="C5" s="4" t="n">
        <v>9999</v>
      </c>
      <c r="D5" s="8">
        <f>2*UnitCost!$C$8+Inputs!$C$29+UnitCost!$C$9+2*UnitCost!$C$10+15*UnitCost!$C$6+12*UnitCost!$C$5</f>
        <v/>
      </c>
      <c r="E5" s="8">
        <f>C5*Inputs!$C$35</f>
        <v/>
      </c>
      <c r="F5" s="8">
        <f>C5*Inputs!$C$36</f>
        <v/>
      </c>
      <c r="G5" s="8">
        <f>C5-D5-E5-F5</f>
        <v/>
      </c>
      <c r="H5" s="9">
        <f>G5/C5</f>
        <v/>
      </c>
      <c r="I5" s="8">
        <f>C5*(1+Inputs!$C$4)</f>
        <v/>
      </c>
      <c r="J5" t="inlineStr"/>
      <c r="K5" t="inlineStr">
        <is>
          <t>Half-day shoot</t>
        </is>
      </c>
    </row>
    <row r="6">
      <c r="A6" t="inlineStr">
        <is>
          <t>3D walkthrough add-on (true 3D, GPU)</t>
        </is>
      </c>
      <c r="B6" t="inlineStr">
        <is>
          <t>per home</t>
        </is>
      </c>
      <c r="C6" s="4" t="n">
        <v>2999</v>
      </c>
      <c r="D6" s="8">
        <f>UnitCost!$C$14+UnitCost!$C$10</f>
        <v/>
      </c>
      <c r="E6" s="8">
        <f>C6*Inputs!$C$35</f>
        <v/>
      </c>
      <c r="F6" s="4" t="n">
        <v>0</v>
      </c>
      <c r="G6" s="8">
        <f>C6-D6-E6-F6</f>
        <v/>
      </c>
      <c r="H6" s="9">
        <f>G6/C6</f>
        <v/>
      </c>
      <c r="I6" s="8">
        <f>C6*(1+Inputs!$C$4)</f>
        <v/>
      </c>
      <c r="J6" t="inlineStr"/>
      <c r="K6" t="inlineStr">
        <is>
          <t>Only after GPU pipeline is validated</t>
        </is>
      </c>
    </row>
    <row r="7">
      <c r="A7" t="inlineStr">
        <is>
          <t>Developer project package (≤4 unit types + amenities, white label, leads, 12 months)</t>
        </is>
      </c>
      <c r="B7" t="inlineStr">
        <is>
          <t>per project / year</t>
        </is>
      </c>
      <c r="C7" s="4" t="n">
        <v>49999</v>
      </c>
      <c r="D7" s="8">
        <f>5*UnitCost!$C$11+2*UnitCost!$C$14+12*Inputs!$C$41</f>
        <v/>
      </c>
      <c r="E7" s="8">
        <f>C7*Inputs!$C$35</f>
        <v/>
      </c>
      <c r="F7" s="8">
        <f>C7*Inputs!$C$36</f>
        <v/>
      </c>
      <c r="G7" s="8">
        <f>C7-D7-E7-F7</f>
        <v/>
      </c>
      <c r="H7" s="9">
        <f>G7/C7</f>
        <v/>
      </c>
      <c r="I7" s="8">
        <f>C7*(1+Inputs!$C$4)</f>
        <v/>
      </c>
      <c r="J7" t="inlineStr"/>
      <c r="K7" t="inlineStr">
        <is>
          <t>Sample flats + clubhouse; replaces site visits</t>
        </is>
      </c>
    </row>
    <row r="8">
      <c r="A8" t="inlineStr">
        <is>
          <t>Hotel / resort package (≤10 room categories + lobby, 12 months)</t>
        </is>
      </c>
      <c r="B8" t="inlineStr">
        <is>
          <t>per property / year</t>
        </is>
      </c>
      <c r="C8" s="4" t="n">
        <v>24999</v>
      </c>
      <c r="D8" s="8">
        <f>2*UnitCost!$C$11+12*Inputs!$C$40</f>
        <v/>
      </c>
      <c r="E8" s="8">
        <f>C8*Inputs!$C$35</f>
        <v/>
      </c>
      <c r="F8" s="8">
        <f>C8*Inputs!$C$36</f>
        <v/>
      </c>
      <c r="G8" s="8">
        <f>C8-D8-E8-F8</f>
        <v/>
      </c>
      <c r="H8" s="9">
        <f>G8/C8</f>
        <v/>
      </c>
      <c r="I8" s="8">
        <f>C8*(1+Inputs!$C$4)</f>
        <v/>
      </c>
      <c r="J8" t="inlineStr"/>
      <c r="K8" t="inlineStr">
        <is>
          <t>OTA + website embed</t>
        </is>
      </c>
    </row>
    <row r="9">
      <c r="A9" t="inlineStr">
        <is>
          <t>Hosting renewal, any tour</t>
        </is>
      </c>
      <c r="B9" t="inlineStr">
        <is>
          <t>per tour / year</t>
        </is>
      </c>
      <c r="C9" s="4" t="n">
        <v>499</v>
      </c>
      <c r="D9" s="8">
        <f>12*UnitCost!$C$15</f>
        <v/>
      </c>
      <c r="E9" s="8">
        <f>C9*Inputs!$C$35</f>
        <v/>
      </c>
      <c r="F9" s="4" t="n">
        <v>0</v>
      </c>
      <c r="G9" s="8">
        <f>C9-D9-E9-F9</f>
        <v/>
      </c>
      <c r="H9" s="9">
        <f>G9/C9</f>
        <v/>
      </c>
      <c r="I9" s="8">
        <f>C9*(1+Inputs!$C$4)</f>
        <v/>
      </c>
      <c r="J9" t="inlineStr"/>
      <c r="K9" t="inlineStr">
        <is>
          <t>Year 2 onwards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0" customWidth="1" min="4" max="4"/>
    <col width="8" customWidth="1" min="5" max="5"/>
    <col width="12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  <col width="11" customWidth="1" min="12" max="12"/>
    <col width="12" customWidth="1" min="13" max="13"/>
    <col width="13" customWidth="1" min="14" max="14"/>
    <col width="11" customWidth="1" min="15" max="15"/>
    <col width="50" customWidth="1" min="16" max="16"/>
    <col width="52" customWidth="1" min="17" max="17"/>
  </cols>
  <sheetData>
    <row r="1">
      <c r="A1" s="3" t="inlineStr">
        <is>
          <t>Plan</t>
        </is>
      </c>
      <c r="B1" s="3" t="inlineStr">
        <is>
          <t>₹ / month (ex-GST)</t>
        </is>
      </c>
      <c r="C1" s="3" t="inlineStr">
        <is>
          <t>₹ / year (2 months free)</t>
        </is>
      </c>
      <c r="D1" s="3" t="inlineStr">
        <is>
          <t>Active tours</t>
        </is>
      </c>
      <c r="E1" s="3" t="inlineStr">
        <is>
          <t>Seats</t>
        </is>
      </c>
      <c r="F1" s="3" t="inlineStr">
        <is>
          <t>3D walkthroughs / month</t>
        </is>
      </c>
      <c r="G1" s="3" t="inlineStr">
        <is>
          <t>Hosting ₹</t>
        </is>
      </c>
      <c r="H1" s="3" t="inlineStr">
        <is>
          <t>Re-capture processing ₹</t>
        </is>
      </c>
      <c r="I1" s="3" t="inlineStr">
        <is>
          <t>Login SMS ₹</t>
        </is>
      </c>
      <c r="J1" s="3" t="inlineStr">
        <is>
          <t>3D GPU ₹</t>
        </is>
      </c>
      <c r="K1" s="3" t="inlineStr">
        <is>
          <t>Support ₹</t>
        </is>
      </c>
      <c r="L1" s="3" t="inlineStr">
        <is>
          <t>Payment fee ₹</t>
        </is>
      </c>
      <c r="M1" s="3" t="inlineStr">
        <is>
          <t>Cost / month ₹</t>
        </is>
      </c>
      <c r="N1" s="3" t="inlineStr">
        <is>
          <t>Gross margin ₹</t>
        </is>
      </c>
      <c r="O1" s="3" t="inlineStr">
        <is>
          <t>Gross margin %</t>
        </is>
      </c>
      <c r="P1" s="3" t="inlineStr">
        <is>
          <t>Features</t>
        </is>
      </c>
      <c r="Q1" s="3" t="inlineStr">
        <is>
          <t>Competitor anchor</t>
        </is>
      </c>
    </row>
    <row r="2">
      <c r="A2" t="inlineStr">
        <is>
          <t>Starter</t>
        </is>
      </c>
      <c r="B2" s="4" t="n">
        <v>1499</v>
      </c>
      <c r="C2" s="8">
        <f>B2*10</f>
        <v/>
      </c>
      <c r="D2" s="4" t="n">
        <v>10</v>
      </c>
      <c r="E2" s="4" t="n">
        <v>1</v>
      </c>
      <c r="F2" s="4" t="n">
        <v>0</v>
      </c>
      <c r="G2" s="8">
        <f>D2*UnitCost!$C$15</f>
        <v/>
      </c>
      <c r="H2" s="8">
        <f>D2*Inputs!$C$43*Inputs!$C$5*(UnitCost!$C$2+UnitCost!$C$3)</f>
        <v/>
      </c>
      <c r="I2" s="8">
        <f>E2*UnitCost!$C$16</f>
        <v/>
      </c>
      <c r="J2" s="8">
        <f>F2*UnitCost!$C$14</f>
        <v/>
      </c>
      <c r="K2" s="8">
        <f>Inputs!$C$39</f>
        <v/>
      </c>
      <c r="L2" s="8">
        <f>B2*Inputs!$C$35</f>
        <v/>
      </c>
      <c r="M2" s="8">
        <f>SUM(G2:L2)</f>
        <v/>
      </c>
      <c r="N2" s="8">
        <f>B2-M2</f>
        <v/>
      </c>
      <c r="O2" s="9">
        <f>N2/B2</f>
        <v/>
      </c>
      <c r="P2" t="inlineStr">
        <is>
          <t>Self-capture, embeds, Nazariya branding</t>
        </is>
      </c>
      <c r="Q2" t="inlineStr">
        <is>
          <t>TeliportMe Essential US$19-25; Kuula Pro US$20</t>
        </is>
      </c>
    </row>
    <row r="3">
      <c r="A3" t="inlineStr">
        <is>
          <t>Pro</t>
        </is>
      </c>
      <c r="B3" s="4" t="n">
        <v>4999</v>
      </c>
      <c r="C3" s="8">
        <f>B3*10</f>
        <v/>
      </c>
      <c r="D3" s="4" t="n">
        <v>50</v>
      </c>
      <c r="E3" s="4" t="n">
        <v>3</v>
      </c>
      <c r="F3" s="4" t="n">
        <v>1</v>
      </c>
      <c r="G3" s="8">
        <f>D3*UnitCost!$C$15</f>
        <v/>
      </c>
      <c r="H3" s="8">
        <f>D3*Inputs!$C$43*Inputs!$C$5*(UnitCost!$C$2+UnitCost!$C$3)</f>
        <v/>
      </c>
      <c r="I3" s="8">
        <f>E3*UnitCost!$C$16</f>
        <v/>
      </c>
      <c r="J3" s="8">
        <f>F3*UnitCost!$C$14</f>
        <v/>
      </c>
      <c r="K3" s="8">
        <f>Inputs!$C$40</f>
        <v/>
      </c>
      <c r="L3" s="8">
        <f>B3*Inputs!$C$35</f>
        <v/>
      </c>
      <c r="M3" s="8">
        <f>SUM(G3:L3)</f>
        <v/>
      </c>
      <c r="N3" s="8">
        <f>B3-M3</f>
        <v/>
      </c>
      <c r="O3" s="9">
        <f>N3/B3</f>
        <v/>
      </c>
      <c r="P3" t="inlineStr">
        <is>
          <t>White label, floor plans, depth mode, leads + analytics</t>
        </is>
      </c>
      <c r="Q3" t="inlineStr">
        <is>
          <t>TeliportMe Business US$29-35; Matterport Pro ~US$55-69</t>
        </is>
      </c>
    </row>
    <row r="4">
      <c r="A4" t="inlineStr">
        <is>
          <t>Business</t>
        </is>
      </c>
      <c r="B4" s="4" t="n">
        <v>12999</v>
      </c>
      <c r="C4" s="8">
        <f>B4*10</f>
        <v/>
      </c>
      <c r="D4" s="4" t="n">
        <v>200</v>
      </c>
      <c r="E4" s="4" t="n">
        <v>10</v>
      </c>
      <c r="F4" s="4" t="n">
        <v>5</v>
      </c>
      <c r="G4" s="8">
        <f>D4*UnitCost!$C$15</f>
        <v/>
      </c>
      <c r="H4" s="8">
        <f>D4*Inputs!$C$43*Inputs!$C$5*(UnitCost!$C$2+UnitCost!$C$3)</f>
        <v/>
      </c>
      <c r="I4" s="8">
        <f>E4*UnitCost!$C$16</f>
        <v/>
      </c>
      <c r="J4" s="8">
        <f>F4*UnitCost!$C$14</f>
        <v/>
      </c>
      <c r="K4" s="8">
        <f>Inputs!$C$41</f>
        <v/>
      </c>
      <c r="L4" s="8">
        <f>B4*Inputs!$C$35</f>
        <v/>
      </c>
      <c r="M4" s="8">
        <f>SUM(G4:L4)</f>
        <v/>
      </c>
      <c r="N4" s="8">
        <f>B4-M4</f>
        <v/>
      </c>
      <c r="O4" s="9">
        <f>N4/B4</f>
        <v/>
      </c>
      <c r="P4" t="inlineStr">
        <is>
          <t>API, custom domain, 5 x 3D walkthroughs/month</t>
        </is>
      </c>
      <c r="Q4" t="inlineStr">
        <is>
          <t>TeliportMe Unlimited US$83-99; Matterport Business ~US$269-355</t>
        </is>
      </c>
    </row>
    <row r="5">
      <c r="A5" t="inlineStr">
        <is>
          <t>Enterprise (from)</t>
        </is>
      </c>
      <c r="B5" s="4" t="n">
        <v>49999</v>
      </c>
      <c r="C5" s="8">
        <f>B5*10</f>
        <v/>
      </c>
      <c r="D5" s="4" t="n">
        <v>1000</v>
      </c>
      <c r="E5" s="4" t="n">
        <v>50</v>
      </c>
      <c r="F5" s="4" t="n">
        <v>20</v>
      </c>
      <c r="G5" s="8">
        <f>D5*UnitCost!$C$15</f>
        <v/>
      </c>
      <c r="H5" s="8">
        <f>D5*Inputs!$C$43*Inputs!$C$5*(UnitCost!$C$2+UnitCost!$C$3)</f>
        <v/>
      </c>
      <c r="I5" s="8">
        <f>E5*UnitCost!$C$16</f>
        <v/>
      </c>
      <c r="J5" s="8">
        <f>F5*UnitCost!$C$14</f>
        <v/>
      </c>
      <c r="K5" s="8">
        <f>Inputs!$C$42</f>
        <v/>
      </c>
      <c r="L5" s="8">
        <f>B5*Inputs!$C$35</f>
        <v/>
      </c>
      <c r="M5" s="8">
        <f>SUM(G5:L5)</f>
        <v/>
      </c>
      <c r="N5" s="8">
        <f>B5-M5</f>
        <v/>
      </c>
      <c r="O5" s="9">
        <f>N5/B5</f>
        <v/>
      </c>
      <c r="P5" t="inlineStr">
        <is>
          <t>SSO, SLA, dedicated success manager</t>
        </is>
      </c>
      <c r="Q5" t="inlineStr">
        <is>
          <t>Custom (all competitors)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44" customWidth="1" min="7" max="7"/>
    <col width="60" customWidth="1" min="8" max="8"/>
    <col width="50" customWidth="1" min="9" max="9"/>
  </cols>
  <sheetData>
    <row r="1">
      <c r="A1" s="3" t="inlineStr">
        <is>
          <t>Competitor</t>
        </is>
      </c>
      <c r="B1" s="3" t="inlineStr">
        <is>
          <t>Plan / unit</t>
        </is>
      </c>
      <c r="C1" s="3" t="inlineStr">
        <is>
          <t>US$ / month (low)</t>
        </is>
      </c>
      <c r="D1" s="3" t="inlineStr">
        <is>
          <t>US$ / month (high)</t>
        </is>
      </c>
      <c r="E1" s="3" t="inlineStr">
        <is>
          <t>₹ / month (low)</t>
        </is>
      </c>
      <c r="F1" s="3" t="inlineStr">
        <is>
          <t>₹ / month (high)</t>
        </is>
      </c>
      <c r="G1" s="3" t="inlineStr">
        <is>
          <t>What you get</t>
        </is>
      </c>
      <c r="H1" s="3" t="inlineStr">
        <is>
          <t>Source</t>
        </is>
      </c>
      <c r="I1" s="3" t="inlineStr">
        <is>
          <t>Confidence</t>
        </is>
      </c>
    </row>
    <row r="2">
      <c r="A2" t="inlineStr">
        <is>
          <t>TeliportMe</t>
        </is>
      </c>
      <c r="B2" t="inlineStr">
        <is>
          <t>Essential</t>
        </is>
      </c>
      <c r="C2" s="4" t="n">
        <v>19</v>
      </c>
      <c r="D2" s="4" t="n">
        <v>25</v>
      </c>
      <c r="E2" s="8">
        <f>C2*Inputs!$C$3</f>
        <v/>
      </c>
      <c r="F2" s="8">
        <f>D2*Inputs!$C$3</f>
        <v/>
      </c>
      <c r="G2" t="inlineStr">
        <is>
          <t>Unlimited tours, 1 user</t>
        </is>
      </c>
      <c r="H2" t="inlineStr">
        <is>
          <t>https://teliportme.com/pricing (fetched 2026-10-17)</t>
        </is>
      </c>
      <c r="I2" t="inlineStr">
        <is>
          <t>Reported (two price sets shown; likely annual vs monthly)</t>
        </is>
      </c>
    </row>
    <row r="3">
      <c r="A3" t="inlineStr">
        <is>
          <t>TeliportMe</t>
        </is>
      </c>
      <c r="B3" t="inlineStr">
        <is>
          <t>Business</t>
        </is>
      </c>
      <c r="C3" s="4" t="n">
        <v>29</v>
      </c>
      <c r="D3" s="4" t="n">
        <v>35</v>
      </c>
      <c r="E3" s="8">
        <f>C3*Inputs!$C$3</f>
        <v/>
      </c>
      <c r="F3" s="8">
        <f>D3*Inputs!$C$3</f>
        <v/>
      </c>
      <c r="G3" t="inlineStr">
        <is>
          <t>Unlimited tours, 3 users, 1 custom domain</t>
        </is>
      </c>
      <c r="H3" t="inlineStr">
        <is>
          <t>https://teliportme.com/pricing</t>
        </is>
      </c>
      <c r="I3" t="inlineStr">
        <is>
          <t>Reported</t>
        </is>
      </c>
    </row>
    <row r="4">
      <c r="A4" t="inlineStr">
        <is>
          <t>TeliportMe</t>
        </is>
      </c>
      <c r="B4" t="inlineStr">
        <is>
          <t>Unlimited</t>
        </is>
      </c>
      <c r="C4" s="4" t="n">
        <v>83</v>
      </c>
      <c r="D4" s="4" t="n">
        <v>99</v>
      </c>
      <c r="E4" s="8">
        <f>C4*Inputs!$C$3</f>
        <v/>
      </c>
      <c r="F4" s="8">
        <f>D4*Inputs!$C$3</f>
        <v/>
      </c>
      <c r="G4" t="inlineStr">
        <is>
          <t>Unlimited users, 5 custom domains</t>
        </is>
      </c>
      <c r="H4" t="inlineStr">
        <is>
          <t>https://teliportme.com/pricing</t>
        </is>
      </c>
      <c r="I4" t="inlineStr">
        <is>
          <t>Reported</t>
        </is>
      </c>
    </row>
    <row r="5">
      <c r="A5" t="inlineStr">
        <is>
          <t>Kuula</t>
        </is>
      </c>
      <c r="B5" t="inlineStr">
        <is>
          <t>Pro</t>
        </is>
      </c>
      <c r="C5" s="4" t="n">
        <v>20</v>
      </c>
      <c r="D5" s="4" t="n">
        <v>20</v>
      </c>
      <c r="E5" s="8">
        <f>C5*Inputs!$C$3</f>
        <v/>
      </c>
      <c r="F5" s="8">
        <f>D5*Inputs!$C$3</f>
        <v/>
      </c>
      <c r="G5" t="inlineStr">
        <is>
          <t>Unlimited uploads, tour editor</t>
        </is>
      </c>
      <c r="H5" t="inlineStr">
        <is>
          <t>https://www.capterra.com/p/179213/Kuula/pricing/</t>
        </is>
      </c>
      <c r="I5" t="inlineStr">
        <is>
          <t>Reported (third-party)</t>
        </is>
      </c>
    </row>
    <row r="6">
      <c r="A6" t="inlineStr">
        <is>
          <t>Kuula</t>
        </is>
      </c>
      <c r="B6" t="inlineStr">
        <is>
          <t>Business</t>
        </is>
      </c>
      <c r="C6" s="4" t="n">
        <v>36</v>
      </c>
      <c r="D6" s="4" t="n">
        <v>48</v>
      </c>
      <c r="E6" s="8">
        <f>C6*Inputs!$C$3</f>
        <v/>
      </c>
      <c r="F6" s="8">
        <f>D6*Inputs!$C$3</f>
        <v/>
      </c>
      <c r="G6" t="inlineStr">
        <is>
          <t>Analytics, password tours, custom domain</t>
        </is>
      </c>
      <c r="H6" t="inlineStr">
        <is>
          <t>Capterra / TrustRadius (conflict)</t>
        </is>
      </c>
      <c r="I6" t="inlineStr">
        <is>
          <t>Reported (third-party, conflicting)</t>
        </is>
      </c>
    </row>
    <row r="7">
      <c r="A7" t="inlineStr">
        <is>
          <t>Matterport</t>
        </is>
      </c>
      <c r="B7" t="inlineStr">
        <is>
          <t>Starter</t>
        </is>
      </c>
      <c r="C7" s="4" t="n">
        <v>12</v>
      </c>
      <c r="D7" s="4" t="n">
        <v>14</v>
      </c>
      <c r="E7" s="8">
        <f>C7*Inputs!$C$3</f>
        <v/>
      </c>
      <c r="F7" s="8">
        <f>D7*Inputs!$C$3</f>
        <v/>
      </c>
      <c r="G7" t="inlineStr">
        <is>
          <t>5-20 active spaces</t>
        </is>
      </c>
      <c r="H7" t="inlineStr">
        <is>
          <t>https://travvir.com/blog/en/matterport-pricing-explained</t>
        </is>
      </c>
      <c r="I7" t="inlineStr">
        <is>
          <t>Reported (third-party); Matterport plans page shows tiers only</t>
        </is>
      </c>
    </row>
    <row r="8">
      <c r="A8" t="inlineStr">
        <is>
          <t>Matterport</t>
        </is>
      </c>
      <c r="B8" t="inlineStr">
        <is>
          <t>Professional</t>
        </is>
      </c>
      <c r="C8" s="4" t="n">
        <v>55</v>
      </c>
      <c r="D8" s="4" t="n">
        <v>69</v>
      </c>
      <c r="E8" s="8">
        <f>C8*Inputs!$C$3</f>
        <v/>
      </c>
      <c r="F8" s="8">
        <f>D8*Inputs!$C$3</f>
        <v/>
      </c>
      <c r="G8" t="inlineStr">
        <is>
          <t>20-150 active spaces</t>
        </is>
      </c>
      <c r="H8" t="inlineStr">
        <is>
          <t>Third-party listings (conflict)</t>
        </is>
      </c>
      <c r="I8" t="inlineStr">
        <is>
          <t>Reported; possible Oct-2026 repricing unverified</t>
        </is>
      </c>
    </row>
    <row r="9">
      <c r="A9" t="inlineStr">
        <is>
          <t>Matterport</t>
        </is>
      </c>
      <c r="B9" t="inlineStr">
        <is>
          <t>Business</t>
        </is>
      </c>
      <c r="C9" s="4" t="n">
        <v>269</v>
      </c>
      <c r="D9" s="4" t="n">
        <v>355</v>
      </c>
      <c r="E9" s="8">
        <f>C9*Inputs!$C$3</f>
        <v/>
      </c>
      <c r="F9" s="8">
        <f>D9*Inputs!$C$3</f>
        <v/>
      </c>
      <c r="G9" t="inlineStr">
        <is>
          <t>100-300 active spaces</t>
        </is>
      </c>
      <c r="H9" t="inlineStr">
        <is>
          <t>Third-party listings (conflict)</t>
        </is>
      </c>
      <c r="I9" t="inlineStr">
        <is>
          <t>Reported</t>
        </is>
      </c>
    </row>
    <row r="11">
      <c r="A11" t="inlineStr">
        <is>
          <t>Nucleus4D</t>
        </is>
      </c>
      <c r="B11" t="inlineStr">
        <is>
          <t>Per listing</t>
        </is>
      </c>
      <c r="G11" t="inlineStr">
        <is>
          <t>US$0.03 per sq ft per listing per year + dedicated capture rig</t>
        </is>
      </c>
      <c r="H11" t="inlineStr">
        <is>
          <t>Podcast summary (research ledger E11)</t>
        </is>
      </c>
      <c r="I11" t="inlineStr">
        <is>
          <t>Low confidence</t>
        </is>
      </c>
    </row>
    <row r="12">
      <c r="A12" t="inlineStr">
        <is>
          <t>Indian 360 tour agency</t>
        </is>
      </c>
      <c r="B12" t="inlineStr">
        <is>
          <t>Per tour</t>
        </is>
      </c>
      <c r="G12" t="inlineStr">
        <is>
          <t>₹1,00,000 per tour (one Ahmedabad vendor listing)</t>
        </is>
      </c>
      <c r="H12" t="inlineStr">
        <is>
          <t>https://m.indiamart.com/impcat/360-degree-virtual-tours.html</t>
        </is>
      </c>
      <c r="I12" t="inlineStr">
        <is>
          <t>Single asking price, not a market rate</t>
        </is>
      </c>
    </row>
    <row r="13">
      <c r="A13" t="inlineStr">
        <is>
          <t>US 3D tour service</t>
        </is>
      </c>
      <c r="B13" t="inlineStr">
        <is>
          <t>Per small home</t>
        </is>
      </c>
      <c r="G13" t="inlineStr">
        <is>
          <t>US$100-500</t>
        </is>
      </c>
      <c r="H13" t="inlineStr">
        <is>
          <t>https://www.styldod.com/blog/how-much-do-3d-virtual-tours-cost</t>
        </is>
      </c>
      <c r="I13" t="inlineStr">
        <is>
          <t>Reported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6" customWidth="1" min="1" max="1"/>
    <col width="13" customWidth="1" min="2" max="2"/>
    <col width="16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5" customWidth="1" min="16" max="16"/>
  </cols>
  <sheetData>
    <row r="1">
      <c r="A1" s="3" t="inlineStr">
        <is>
          <t>Line</t>
        </is>
      </c>
      <c r="B1" s="3" t="inlineStr">
        <is>
          <t>Unit price ₹</t>
        </is>
      </c>
      <c r="C1" s="3" t="inlineStr">
        <is>
          <t>Contribution / unit ₹</t>
        </is>
      </c>
      <c r="D1" s="3" t="inlineStr">
        <is>
          <t>M1</t>
        </is>
      </c>
      <c r="E1" s="3" t="inlineStr">
        <is>
          <t>M2</t>
        </is>
      </c>
      <c r="F1" s="3" t="inlineStr">
        <is>
          <t>M3</t>
        </is>
      </c>
      <c r="G1" s="3" t="inlineStr">
        <is>
          <t>M4</t>
        </is>
      </c>
      <c r="H1" s="3" t="inlineStr">
        <is>
          <t>M5</t>
        </is>
      </c>
      <c r="I1" s="3" t="inlineStr">
        <is>
          <t>M6</t>
        </is>
      </c>
      <c r="J1" s="3" t="inlineStr">
        <is>
          <t>M7</t>
        </is>
      </c>
      <c r="K1" s="3" t="inlineStr">
        <is>
          <t>M8</t>
        </is>
      </c>
      <c r="L1" s="3" t="inlineStr">
        <is>
          <t>M9</t>
        </is>
      </c>
      <c r="M1" s="3" t="inlineStr">
        <is>
          <t>M10</t>
        </is>
      </c>
      <c r="N1" s="3" t="inlineStr">
        <is>
          <t>M11</t>
        </is>
      </c>
      <c r="O1" s="3" t="inlineStr">
        <is>
          <t>M12</t>
        </is>
      </c>
      <c r="P1" s="3" t="inlineStr">
        <is>
          <t>12-month total</t>
        </is>
      </c>
    </row>
    <row r="2">
      <c r="A2" s="1" t="inlineStr">
        <is>
          <t>VOLUMES (targets: edit the blue numbers)</t>
        </is>
      </c>
    </row>
    <row r="3">
      <c r="A3" t="inlineStr">
        <is>
          <t>Done-for-you home tours sold</t>
        </is>
      </c>
      <c r="B3" s="8">
        <f>PriceList!$C$4</f>
        <v/>
      </c>
      <c r="C3" s="8">
        <f>PriceList!$G$4</f>
        <v/>
      </c>
      <c r="D3" s="4" t="n">
        <v>5</v>
      </c>
      <c r="E3" s="4" t="n">
        <v>10</v>
      </c>
      <c r="F3" s="4" t="n">
        <v>15</v>
      </c>
      <c r="G3" s="4" t="n">
        <v>20</v>
      </c>
      <c r="H3" s="4" t="n">
        <v>25</v>
      </c>
      <c r="I3" s="4" t="n">
        <v>30</v>
      </c>
      <c r="J3" s="4" t="n">
        <v>35</v>
      </c>
      <c r="K3" s="4" t="n">
        <v>40</v>
      </c>
      <c r="L3" s="4" t="n">
        <v>45</v>
      </c>
      <c r="M3" s="4" t="n">
        <v>50</v>
      </c>
      <c r="N3" s="4" t="n">
        <v>55</v>
      </c>
      <c r="O3" s="4" t="n">
        <v>60</v>
      </c>
      <c r="P3" s="8">
        <f>SUM(D3:O3)</f>
        <v/>
      </c>
    </row>
    <row r="4">
      <c r="A4" t="inlineStr">
        <is>
          <t>DIY home tours sold</t>
        </is>
      </c>
      <c r="B4" s="8">
        <f>PriceList!$C$2</f>
        <v/>
      </c>
      <c r="C4" s="8">
        <f>PriceList!$G$2</f>
        <v/>
      </c>
      <c r="D4" s="4" t="n">
        <v>0</v>
      </c>
      <c r="E4" s="4" t="n">
        <v>5</v>
      </c>
      <c r="F4" s="4" t="n">
        <v>10</v>
      </c>
      <c r="G4" s="4" t="n">
        <v>20</v>
      </c>
      <c r="H4" s="4" t="n">
        <v>30</v>
      </c>
      <c r="I4" s="4" t="n">
        <v>45</v>
      </c>
      <c r="J4" s="4" t="n">
        <v>60</v>
      </c>
      <c r="K4" s="4" t="n">
        <v>75</v>
      </c>
      <c r="L4" s="4" t="n">
        <v>90</v>
      </c>
      <c r="M4" s="4" t="n">
        <v>110</v>
      </c>
      <c r="N4" s="4" t="n">
        <v>130</v>
      </c>
      <c r="O4" s="4" t="n">
        <v>150</v>
      </c>
      <c r="P4" s="8">
        <f>SUM(D4:O4)</f>
        <v/>
      </c>
    </row>
    <row r="5">
      <c r="A5" t="inlineStr">
        <is>
          <t>Villas / large homes</t>
        </is>
      </c>
      <c r="B5" s="8">
        <f>PriceList!$C$5</f>
        <v/>
      </c>
      <c r="C5" s="8">
        <f>PriceList!$G$5</f>
        <v/>
      </c>
      <c r="D5" s="4" t="n">
        <v>0</v>
      </c>
      <c r="E5" s="4" t="n">
        <v>1</v>
      </c>
      <c r="F5" s="4" t="n">
        <v>1</v>
      </c>
      <c r="G5" s="4" t="n">
        <v>2</v>
      </c>
      <c r="H5" s="4" t="n">
        <v>2</v>
      </c>
      <c r="I5" s="4" t="n">
        <v>3</v>
      </c>
      <c r="J5" s="4" t="n">
        <v>3</v>
      </c>
      <c r="K5" s="4" t="n">
        <v>3</v>
      </c>
      <c r="L5" s="4" t="n">
        <v>4</v>
      </c>
      <c r="M5" s="4" t="n">
        <v>4</v>
      </c>
      <c r="N5" s="4" t="n">
        <v>4</v>
      </c>
      <c r="O5" s="4" t="n">
        <v>5</v>
      </c>
      <c r="P5" s="8">
        <f>SUM(D5:O5)</f>
        <v/>
      </c>
    </row>
    <row r="6">
      <c r="A6" t="inlineStr">
        <is>
          <t>3D walkthrough add-ons</t>
        </is>
      </c>
      <c r="B6" s="8">
        <f>PriceList!$C$6</f>
        <v/>
      </c>
      <c r="C6" s="8">
        <f>PriceList!$G$6</f>
        <v/>
      </c>
      <c r="D6" s="4" t="n">
        <v>0</v>
      </c>
      <c r="E6" s="4" t="n">
        <v>0</v>
      </c>
      <c r="F6" s="4" t="n">
        <v>0</v>
      </c>
      <c r="G6" s="4" t="n">
        <v>1</v>
      </c>
      <c r="H6" s="4" t="n">
        <v>2</v>
      </c>
      <c r="I6" s="4" t="n">
        <v>3</v>
      </c>
      <c r="J6" s="4" t="n">
        <v>4</v>
      </c>
      <c r="K6" s="4" t="n">
        <v>5</v>
      </c>
      <c r="L6" s="4" t="n">
        <v>6</v>
      </c>
      <c r="M6" s="4" t="n">
        <v>7</v>
      </c>
      <c r="N6" s="4" t="n">
        <v>8</v>
      </c>
      <c r="O6" s="4" t="n">
        <v>9</v>
      </c>
      <c r="P6" s="8">
        <f>SUM(D6:O6)</f>
        <v/>
      </c>
    </row>
    <row r="7">
      <c r="A7" t="inlineStr">
        <is>
          <t>Developer project packages (new)</t>
        </is>
      </c>
      <c r="B7" s="8">
        <f>PriceList!$C$7</f>
        <v/>
      </c>
      <c r="C7" s="8">
        <f>PriceList!$G$7</f>
        <v/>
      </c>
      <c r="D7" s="4" t="n">
        <v>0</v>
      </c>
      <c r="E7" s="4" t="n">
        <v>0</v>
      </c>
      <c r="F7" s="4" t="n">
        <v>1</v>
      </c>
      <c r="G7" s="4" t="n">
        <v>1</v>
      </c>
      <c r="H7" s="4" t="n">
        <v>1</v>
      </c>
      <c r="I7" s="4" t="n">
        <v>2</v>
      </c>
      <c r="J7" s="4" t="n">
        <v>2</v>
      </c>
      <c r="K7" s="4" t="n">
        <v>2</v>
      </c>
      <c r="L7" s="4" t="n">
        <v>2</v>
      </c>
      <c r="M7" s="4" t="n">
        <v>3</v>
      </c>
      <c r="N7" s="4" t="n">
        <v>3</v>
      </c>
      <c r="O7" s="4" t="n">
        <v>3</v>
      </c>
      <c r="P7" s="8">
        <f>SUM(D7:O7)</f>
        <v/>
      </c>
    </row>
    <row r="8">
      <c r="A8" t="inlineStr">
        <is>
          <t>Hotel packages (new)</t>
        </is>
      </c>
      <c r="B8" s="8">
        <f>PriceList!$C$8</f>
        <v/>
      </c>
      <c r="C8" s="8">
        <f>PriceList!$G$8</f>
        <v/>
      </c>
      <c r="D8" s="4" t="n">
        <v>0</v>
      </c>
      <c r="E8" s="4" t="n">
        <v>1</v>
      </c>
      <c r="F8" s="4" t="n">
        <v>1</v>
      </c>
      <c r="G8" s="4" t="n">
        <v>1</v>
      </c>
      <c r="H8" s="4" t="n">
        <v>2</v>
      </c>
      <c r="I8" s="4" t="n">
        <v>2</v>
      </c>
      <c r="J8" s="4" t="n">
        <v>2</v>
      </c>
      <c r="K8" s="4" t="n">
        <v>2</v>
      </c>
      <c r="L8" s="4" t="n">
        <v>3</v>
      </c>
      <c r="M8" s="4" t="n">
        <v>3</v>
      </c>
      <c r="N8" s="4" t="n">
        <v>3</v>
      </c>
      <c r="O8" s="4" t="n">
        <v>3</v>
      </c>
      <c r="P8" s="8">
        <f>SUM(D8:O8)</f>
        <v/>
      </c>
    </row>
    <row r="9">
      <c r="A9" t="inlineStr">
        <is>
          <t>Starter subscribers (active)</t>
        </is>
      </c>
      <c r="B9" s="8">
        <f>Plans!$B$2</f>
        <v/>
      </c>
      <c r="C9" s="8">
        <f>Plans!$N$2</f>
        <v/>
      </c>
      <c r="D9" s="4" t="n">
        <v>0</v>
      </c>
      <c r="E9" s="4" t="n">
        <v>2</v>
      </c>
      <c r="F9" s="4" t="n">
        <v>4</v>
      </c>
      <c r="G9" s="4" t="n">
        <v>6</v>
      </c>
      <c r="H9" s="4" t="n">
        <v>9</v>
      </c>
      <c r="I9" s="4" t="n">
        <v>12</v>
      </c>
      <c r="J9" s="4" t="n">
        <v>15</v>
      </c>
      <c r="K9" s="4" t="n">
        <v>18</v>
      </c>
      <c r="L9" s="4" t="n">
        <v>21</v>
      </c>
      <c r="M9" s="4" t="n">
        <v>24</v>
      </c>
      <c r="N9" s="4" t="n">
        <v>27</v>
      </c>
      <c r="O9" s="4" t="n">
        <v>30</v>
      </c>
      <c r="P9" s="8">
        <f>SUM(D9:O9)</f>
        <v/>
      </c>
    </row>
    <row r="10">
      <c r="A10" t="inlineStr">
        <is>
          <t>Pro subscribers (active)</t>
        </is>
      </c>
      <c r="B10" s="8">
        <f>Plans!$B$3</f>
        <v/>
      </c>
      <c r="C10" s="8">
        <f>Plans!$N$3</f>
        <v/>
      </c>
      <c r="D10" s="4" t="n">
        <v>0</v>
      </c>
      <c r="E10" s="4" t="n">
        <v>0</v>
      </c>
      <c r="F10" s="4" t="n">
        <v>1</v>
      </c>
      <c r="G10" s="4" t="n">
        <v>2</v>
      </c>
      <c r="H10" s="4" t="n">
        <v>3</v>
      </c>
      <c r="I10" s="4" t="n">
        <v>4</v>
      </c>
      <c r="J10" s="4" t="n">
        <v>5</v>
      </c>
      <c r="K10" s="4" t="n">
        <v>6</v>
      </c>
      <c r="L10" s="4" t="n">
        <v>8</v>
      </c>
      <c r="M10" s="4" t="n">
        <v>9</v>
      </c>
      <c r="N10" s="4" t="n">
        <v>11</v>
      </c>
      <c r="O10" s="4" t="n">
        <v>12</v>
      </c>
      <c r="P10" s="8">
        <f>SUM(D10:O10)</f>
        <v/>
      </c>
    </row>
    <row r="11">
      <c r="A11" t="inlineStr">
        <is>
          <t>Business subscribers (active)</t>
        </is>
      </c>
      <c r="B11" s="8">
        <f>Plans!$B$4</f>
        <v/>
      </c>
      <c r="C11" s="8">
        <f>Plans!$N$4</f>
        <v/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1</v>
      </c>
      <c r="I11" s="4" t="n">
        <v>1</v>
      </c>
      <c r="J11" s="4" t="n">
        <v>1</v>
      </c>
      <c r="K11" s="4" t="n">
        <v>2</v>
      </c>
      <c r="L11" s="4" t="n">
        <v>2</v>
      </c>
      <c r="M11" s="4" t="n">
        <v>2</v>
      </c>
      <c r="N11" s="4" t="n">
        <v>3</v>
      </c>
      <c r="O11" s="4" t="n">
        <v>3</v>
      </c>
      <c r="P11" s="8">
        <f>SUM(D11:O11)</f>
        <v/>
      </c>
    </row>
    <row r="13">
      <c r="A13" s="1" t="inlineStr">
        <is>
          <t>Revenue ₹ (ex-GST)</t>
        </is>
      </c>
      <c r="D13" s="8">
        <f>(D3*$B$3+D4*$B$4+D5*$B$5+D6*$B$6+D7*$B$7+D8*$B$8+D9*$B$9+D10*$B$10+D11*$B$11)*Inputs!$C$50</f>
        <v/>
      </c>
      <c r="E13" s="8">
        <f>(E3*$B$3+E4*$B$4+E5*$B$5+E6*$B$6+E7*$B$7+E8*$B$8+E9*$B$9+E10*$B$10+E11*$B$11)*Inputs!$C$50</f>
        <v/>
      </c>
      <c r="F13" s="8">
        <f>(F3*$B$3+F4*$B$4+F5*$B$5+F6*$B$6+F7*$B$7+F8*$B$8+F9*$B$9+F10*$B$10+F11*$B$11)*Inputs!$C$50</f>
        <v/>
      </c>
      <c r="G13" s="8">
        <f>(G3*$B$3+G4*$B$4+G5*$B$5+G6*$B$6+G7*$B$7+G8*$B$8+G9*$B$9+G10*$B$10+G11*$B$11)*Inputs!$C$50</f>
        <v/>
      </c>
      <c r="H13" s="8">
        <f>(H3*$B$3+H4*$B$4+H5*$B$5+H6*$B$6+H7*$B$7+H8*$B$8+H9*$B$9+H10*$B$10+H11*$B$11)*Inputs!$C$50</f>
        <v/>
      </c>
      <c r="I13" s="8">
        <f>(I3*$B$3+I4*$B$4+I5*$B$5+I6*$B$6+I7*$B$7+I8*$B$8+I9*$B$9+I10*$B$10+I11*$B$11)*Inputs!$C$50</f>
        <v/>
      </c>
      <c r="J13" s="8">
        <f>(J3*$B$3+J4*$B$4+J5*$B$5+J6*$B$6+J7*$B$7+J8*$B$8+J9*$B$9+J10*$B$10+J11*$B$11)*Inputs!$C$50</f>
        <v/>
      </c>
      <c r="K13" s="8">
        <f>(K3*$B$3+K4*$B$4+K5*$B$5+K6*$B$6+K7*$B$7+K8*$B$8+K9*$B$9+K10*$B$10+K11*$B$11)*Inputs!$C$50</f>
        <v/>
      </c>
      <c r="L13" s="8">
        <f>(L3*$B$3+L4*$B$4+L5*$B$5+L6*$B$6+L7*$B$7+L8*$B$8+L9*$B$9+L10*$B$10+L11*$B$11)*Inputs!$C$50</f>
        <v/>
      </c>
      <c r="M13" s="8">
        <f>(M3*$B$3+M4*$B$4+M5*$B$5+M6*$B$6+M7*$B$7+M8*$B$8+M9*$B$9+M10*$B$10+M11*$B$11)*Inputs!$C$50</f>
        <v/>
      </c>
      <c r="N13" s="8">
        <f>(N3*$B$3+N4*$B$4+N5*$B$5+N6*$B$6+N7*$B$7+N8*$B$8+N9*$B$9+N10*$B$10+N11*$B$11)*Inputs!$C$50</f>
        <v/>
      </c>
      <c r="O13" s="8">
        <f>(O3*$B$3+O4*$B$4+O5*$B$5+O6*$B$6+O7*$B$7+O8*$B$8+O9*$B$9+O10*$B$10+O11*$B$11)*Inputs!$C$50</f>
        <v/>
      </c>
      <c r="P13" s="8">
        <f>SUM(D13:O13)</f>
        <v/>
      </c>
    </row>
    <row r="14">
      <c r="A14" s="1" t="inlineStr">
        <is>
          <t>Contribution ₹ (after direct costs, fees, commission)</t>
        </is>
      </c>
      <c r="D14" s="8">
        <f>(D3*$C$3+D4*$C$4+D5*$C$5+D6*$C$6+D7*$C$7+D8*$C$8+D9*$C$9+D10*$C$10+D11*$C$11)*Inputs!$C$50</f>
        <v/>
      </c>
      <c r="E14" s="8">
        <f>(E3*$C$3+E4*$C$4+E5*$C$5+E6*$C$6+E7*$C$7+E8*$C$8+E9*$C$9+E10*$C$10+E11*$C$11)*Inputs!$C$50</f>
        <v/>
      </c>
      <c r="F14" s="8">
        <f>(F3*$C$3+F4*$C$4+F5*$C$5+F6*$C$6+F7*$C$7+F8*$C$8+F9*$C$9+F10*$C$10+F11*$C$11)*Inputs!$C$50</f>
        <v/>
      </c>
      <c r="G14" s="8">
        <f>(G3*$C$3+G4*$C$4+G5*$C$5+G6*$C$6+G7*$C$7+G8*$C$8+G9*$C$9+G10*$C$10+G11*$C$11)*Inputs!$C$50</f>
        <v/>
      </c>
      <c r="H14" s="8">
        <f>(H3*$C$3+H4*$C$4+H5*$C$5+H6*$C$6+H7*$C$7+H8*$C$8+H9*$C$9+H10*$C$10+H11*$C$11)*Inputs!$C$50</f>
        <v/>
      </c>
      <c r="I14" s="8">
        <f>(I3*$C$3+I4*$C$4+I5*$C$5+I6*$C$6+I7*$C$7+I8*$C$8+I9*$C$9+I10*$C$10+I11*$C$11)*Inputs!$C$50</f>
        <v/>
      </c>
      <c r="J14" s="8">
        <f>(J3*$C$3+J4*$C$4+J5*$C$5+J6*$C$6+J7*$C$7+J8*$C$8+J9*$C$9+J10*$C$10+J11*$C$11)*Inputs!$C$50</f>
        <v/>
      </c>
      <c r="K14" s="8">
        <f>(K3*$C$3+K4*$C$4+K5*$C$5+K6*$C$6+K7*$C$7+K8*$C$8+K9*$C$9+K10*$C$10+K11*$C$11)*Inputs!$C$50</f>
        <v/>
      </c>
      <c r="L14" s="8">
        <f>(L3*$C$3+L4*$C$4+L5*$C$5+L6*$C$6+L7*$C$7+L8*$C$8+L9*$C$9+L10*$C$10+L11*$C$11)*Inputs!$C$50</f>
        <v/>
      </c>
      <c r="M14" s="8">
        <f>(M3*$C$3+M4*$C$4+M5*$C$5+M6*$C$6+M7*$C$7+M8*$C$8+M9*$C$9+M10*$C$10+M11*$C$11)*Inputs!$C$50</f>
        <v/>
      </c>
      <c r="N14" s="8">
        <f>(N3*$C$3+N4*$C$4+N5*$C$5+N6*$C$6+N7*$C$7+N8*$C$8+N9*$C$9+N10*$C$10+N11*$C$11)*Inputs!$C$50</f>
        <v/>
      </c>
      <c r="O14" s="8">
        <f>(O3*$C$3+O4*$C$4+O5*$C$5+O6*$C$6+O7*$C$7+O8*$C$8+O9*$C$9+O10*$C$10+O11*$C$11)*Inputs!$C$50</f>
        <v/>
      </c>
      <c r="P14" s="8">
        <f>SUM(D14:O14)</f>
        <v/>
      </c>
    </row>
    <row r="16">
      <c r="A16" s="1" t="inlineStr">
        <is>
          <t>FIXED COSTS ₹ / month</t>
        </is>
      </c>
    </row>
    <row r="17">
      <c r="A17" t="inlineStr">
        <is>
          <t>Cloud infrastructure</t>
        </is>
      </c>
      <c r="D17" s="8">
        <f>Inputs!$C$45</f>
        <v/>
      </c>
      <c r="E17" s="8">
        <f>Inputs!$C$45</f>
        <v/>
      </c>
      <c r="F17" s="8">
        <f>Inputs!$C$45</f>
        <v/>
      </c>
      <c r="G17" s="8">
        <f>Inputs!$C$45</f>
        <v/>
      </c>
      <c r="H17" s="8">
        <f>Inputs!$C$45</f>
        <v/>
      </c>
      <c r="I17" s="8">
        <f>Inputs!$C$45</f>
        <v/>
      </c>
      <c r="J17" s="8">
        <f>Inputs!$C$45</f>
        <v/>
      </c>
      <c r="K17" s="8">
        <f>Inputs!$C$45</f>
        <v/>
      </c>
      <c r="L17" s="8">
        <f>Inputs!$C$45</f>
        <v/>
      </c>
      <c r="M17" s="8">
        <f>Inputs!$C$45</f>
        <v/>
      </c>
      <c r="N17" s="8">
        <f>Inputs!$C$45</f>
        <v/>
      </c>
      <c r="O17" s="8">
        <f>Inputs!$C$45</f>
        <v/>
      </c>
      <c r="P17" s="8">
        <f>SUM(D17:O17)</f>
        <v/>
      </c>
    </row>
    <row r="18">
      <c r="A18" t="inlineStr">
        <is>
          <t>Tools</t>
        </is>
      </c>
      <c r="D18" s="8">
        <f>Inputs!$C$46</f>
        <v/>
      </c>
      <c r="E18" s="8">
        <f>Inputs!$C$46</f>
        <v/>
      </c>
      <c r="F18" s="8">
        <f>Inputs!$C$46</f>
        <v/>
      </c>
      <c r="G18" s="8">
        <f>Inputs!$C$46</f>
        <v/>
      </c>
      <c r="H18" s="8">
        <f>Inputs!$C$46</f>
        <v/>
      </c>
      <c r="I18" s="8">
        <f>Inputs!$C$46</f>
        <v/>
      </c>
      <c r="J18" s="8">
        <f>Inputs!$C$46</f>
        <v/>
      </c>
      <c r="K18" s="8">
        <f>Inputs!$C$46</f>
        <v/>
      </c>
      <c r="L18" s="8">
        <f>Inputs!$C$46</f>
        <v/>
      </c>
      <c r="M18" s="8">
        <f>Inputs!$C$46</f>
        <v/>
      </c>
      <c r="N18" s="8">
        <f>Inputs!$C$46</f>
        <v/>
      </c>
      <c r="O18" s="8">
        <f>Inputs!$C$46</f>
        <v/>
      </c>
      <c r="P18" s="8">
        <f>SUM(D18:O18)</f>
        <v/>
      </c>
    </row>
    <row r="19">
      <c r="A19" t="inlineStr">
        <is>
          <t>Accounting / compliance</t>
        </is>
      </c>
      <c r="D19" s="8">
        <f>Inputs!$C$47</f>
        <v/>
      </c>
      <c r="E19" s="8">
        <f>Inputs!$C$47</f>
        <v/>
      </c>
      <c r="F19" s="8">
        <f>Inputs!$C$47</f>
        <v/>
      </c>
      <c r="G19" s="8">
        <f>Inputs!$C$47</f>
        <v/>
      </c>
      <c r="H19" s="8">
        <f>Inputs!$C$47</f>
        <v/>
      </c>
      <c r="I19" s="8">
        <f>Inputs!$C$47</f>
        <v/>
      </c>
      <c r="J19" s="8">
        <f>Inputs!$C$47</f>
        <v/>
      </c>
      <c r="K19" s="8">
        <f>Inputs!$C$47</f>
        <v/>
      </c>
      <c r="L19" s="8">
        <f>Inputs!$C$47</f>
        <v/>
      </c>
      <c r="M19" s="8">
        <f>Inputs!$C$47</f>
        <v/>
      </c>
      <c r="N19" s="8">
        <f>Inputs!$C$47</f>
        <v/>
      </c>
      <c r="O19" s="8">
        <f>Inputs!$C$47</f>
        <v/>
      </c>
      <c r="P19" s="8">
        <f>SUM(D19:O19)</f>
        <v/>
      </c>
    </row>
    <row r="20">
      <c r="A20" t="inlineStr">
        <is>
          <t>Marketing</t>
        </is>
      </c>
      <c r="D20" s="8">
        <f>Inputs!$C$48</f>
        <v/>
      </c>
      <c r="E20" s="8">
        <f>Inputs!$C$48</f>
        <v/>
      </c>
      <c r="F20" s="8">
        <f>Inputs!$C$48</f>
        <v/>
      </c>
      <c r="G20" s="8">
        <f>Inputs!$C$48</f>
        <v/>
      </c>
      <c r="H20" s="8">
        <f>Inputs!$C$48</f>
        <v/>
      </c>
      <c r="I20" s="8">
        <f>Inputs!$C$48</f>
        <v/>
      </c>
      <c r="J20" s="8">
        <f>Inputs!$C$48</f>
        <v/>
      </c>
      <c r="K20" s="8">
        <f>Inputs!$C$48</f>
        <v/>
      </c>
      <c r="L20" s="8">
        <f>Inputs!$C$48</f>
        <v/>
      </c>
      <c r="M20" s="8">
        <f>Inputs!$C$48</f>
        <v/>
      </c>
      <c r="N20" s="8">
        <f>Inputs!$C$48</f>
        <v/>
      </c>
      <c r="O20" s="8">
        <f>Inputs!$C$48</f>
        <v/>
      </c>
      <c r="P20" s="8">
        <f>SUM(D20:O20)</f>
        <v/>
      </c>
    </row>
    <row r="21">
      <c r="A21" t="inlineStr">
        <is>
          <t>Sales / BD executive (+ commission above)</t>
        </is>
      </c>
      <c r="D21" s="4" t="n">
        <v>0</v>
      </c>
      <c r="E21" s="4" t="n">
        <v>35000</v>
      </c>
      <c r="F21" s="4" t="n">
        <v>35000</v>
      </c>
      <c r="G21" s="4" t="n">
        <v>35000</v>
      </c>
      <c r="H21" s="4" t="n">
        <v>35000</v>
      </c>
      <c r="I21" s="4" t="n">
        <v>35000</v>
      </c>
      <c r="J21" s="4" t="n">
        <v>35000</v>
      </c>
      <c r="K21" s="4" t="n">
        <v>35000</v>
      </c>
      <c r="L21" s="4" t="n">
        <v>35000</v>
      </c>
      <c r="M21" s="4" t="n">
        <v>35000</v>
      </c>
      <c r="N21" s="4" t="n">
        <v>35000</v>
      </c>
      <c r="O21" s="4" t="n">
        <v>35000</v>
      </c>
      <c r="P21" s="8">
        <f>SUM(D21:O21)</f>
        <v/>
      </c>
    </row>
    <row r="22">
      <c r="A22" t="inlineStr">
        <is>
          <t>Second sales executive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35000</v>
      </c>
      <c r="J22" s="4" t="n">
        <v>35000</v>
      </c>
      <c r="K22" s="4" t="n">
        <v>35000</v>
      </c>
      <c r="L22" s="4" t="n">
        <v>35000</v>
      </c>
      <c r="M22" s="4" t="n">
        <v>35000</v>
      </c>
      <c r="N22" s="4" t="n">
        <v>35000</v>
      </c>
      <c r="O22" s="4" t="n">
        <v>35000</v>
      </c>
      <c r="P22" s="8">
        <f>SUM(D22:O22)</f>
        <v/>
      </c>
    </row>
    <row r="23">
      <c r="A23" t="inlineStr">
        <is>
          <t>Full-stack / 3D engineer (after grant or seed)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100000</v>
      </c>
      <c r="I23" s="4" t="n">
        <v>100000</v>
      </c>
      <c r="J23" s="4" t="n">
        <v>100000</v>
      </c>
      <c r="K23" s="4" t="n">
        <v>100000</v>
      </c>
      <c r="L23" s="4" t="n">
        <v>100000</v>
      </c>
      <c r="M23" s="4" t="n">
        <v>100000</v>
      </c>
      <c r="N23" s="4" t="n">
        <v>100000</v>
      </c>
      <c r="O23" s="4" t="n">
        <v>100000</v>
      </c>
      <c r="P23" s="8">
        <f>SUM(D23:O23)</f>
        <v/>
      </c>
    </row>
    <row r="24">
      <c r="A24" t="inlineStr">
        <is>
          <t>Ops lead (QA, onboarding, support)</t>
        </is>
      </c>
      <c r="D24" s="4" t="n">
        <v>0</v>
      </c>
      <c r="E24" s="4" t="n">
        <v>0</v>
      </c>
      <c r="F24" s="4" t="n">
        <v>0</v>
      </c>
      <c r="G24" s="4" t="n">
        <v>30000</v>
      </c>
      <c r="H24" s="4" t="n">
        <v>30000</v>
      </c>
      <c r="I24" s="4" t="n">
        <v>30000</v>
      </c>
      <c r="J24" s="4" t="n">
        <v>30000</v>
      </c>
      <c r="K24" s="4" t="n">
        <v>30000</v>
      </c>
      <c r="L24" s="4" t="n">
        <v>30000</v>
      </c>
      <c r="M24" s="4" t="n">
        <v>30000</v>
      </c>
      <c r="N24" s="4" t="n">
        <v>30000</v>
      </c>
      <c r="O24" s="4" t="n">
        <v>30000</v>
      </c>
      <c r="P24" s="8">
        <f>SUM(D24:O24)</f>
        <v/>
      </c>
    </row>
    <row r="25">
      <c r="A25" s="1" t="inlineStr">
        <is>
          <t>Total fixed costs ₹</t>
        </is>
      </c>
      <c r="D25" s="8">
        <f>SUM(D17:D24)</f>
        <v/>
      </c>
      <c r="E25" s="8">
        <f>SUM(E17:E24)</f>
        <v/>
      </c>
      <c r="F25" s="8">
        <f>SUM(F17:F24)</f>
        <v/>
      </c>
      <c r="G25" s="8">
        <f>SUM(G17:G24)</f>
        <v/>
      </c>
      <c r="H25" s="8">
        <f>SUM(H17:H24)</f>
        <v/>
      </c>
      <c r="I25" s="8">
        <f>SUM(I17:I24)</f>
        <v/>
      </c>
      <c r="J25" s="8">
        <f>SUM(J17:J24)</f>
        <v/>
      </c>
      <c r="K25" s="8">
        <f>SUM(K17:K24)</f>
        <v/>
      </c>
      <c r="L25" s="8">
        <f>SUM(L17:L24)</f>
        <v/>
      </c>
      <c r="M25" s="8">
        <f>SUM(M17:M24)</f>
        <v/>
      </c>
      <c r="N25" s="8">
        <f>SUM(N17:N24)</f>
        <v/>
      </c>
      <c r="O25" s="8">
        <f>SUM(O17:O24)</f>
        <v/>
      </c>
      <c r="P25" s="8">
        <f>SUM(P17:P24)</f>
        <v/>
      </c>
    </row>
    <row r="27">
      <c r="A27" s="1" t="inlineStr">
        <is>
          <t>Monthly profit / (loss) ₹</t>
        </is>
      </c>
      <c r="D27" s="8">
        <f>D14-D25</f>
        <v/>
      </c>
      <c r="E27" s="8">
        <f>E14-E25</f>
        <v/>
      </c>
      <c r="F27" s="8">
        <f>F14-F25</f>
        <v/>
      </c>
      <c r="G27" s="8">
        <f>G14-G25</f>
        <v/>
      </c>
      <c r="H27" s="8">
        <f>H14-H25</f>
        <v/>
      </c>
      <c r="I27" s="8">
        <f>I14-I25</f>
        <v/>
      </c>
      <c r="J27" s="8">
        <f>J14-J25</f>
        <v/>
      </c>
      <c r="K27" s="8">
        <f>K14-K25</f>
        <v/>
      </c>
      <c r="L27" s="8">
        <f>L14-L25</f>
        <v/>
      </c>
      <c r="M27" s="8">
        <f>M14-M25</f>
        <v/>
      </c>
      <c r="N27" s="8">
        <f>N14-N25</f>
        <v/>
      </c>
      <c r="O27" s="8">
        <f>O14-O25</f>
        <v/>
      </c>
      <c r="P27" s="8">
        <f>P14-P25</f>
        <v/>
      </c>
    </row>
    <row r="28">
      <c r="A28" s="1" t="inlineStr">
        <is>
          <t>Cash in bank ₹ (start + cumulative profit)</t>
        </is>
      </c>
      <c r="D28" s="8">
        <f>Inputs!$C$49+D27</f>
        <v/>
      </c>
      <c r="E28" s="8">
        <f>D28+E27</f>
        <v/>
      </c>
      <c r="F28" s="8">
        <f>E28+F27</f>
        <v/>
      </c>
      <c r="G28" s="8">
        <f>F28+G27</f>
        <v/>
      </c>
      <c r="H28" s="8">
        <f>G28+H27</f>
        <v/>
      </c>
      <c r="I28" s="8">
        <f>H28+I27</f>
        <v/>
      </c>
      <c r="J28" s="8">
        <f>I28+J27</f>
        <v/>
      </c>
      <c r="K28" s="8">
        <f>J28+K27</f>
        <v/>
      </c>
      <c r="L28" s="8">
        <f>K28+L27</f>
        <v/>
      </c>
      <c r="M28" s="8">
        <f>L28+M27</f>
        <v/>
      </c>
      <c r="N28" s="8">
        <f>M28+N27</f>
        <v/>
      </c>
      <c r="O28" s="8">
        <f>N28+O27</f>
        <v/>
      </c>
    </row>
    <row r="29">
      <c r="A29" s="1" t="inlineStr">
        <is>
          <t>Lowest cash point ₹ (negative = money you must raise first)</t>
        </is>
      </c>
      <c r="D29" s="8">
        <f>MIN(D28:O28)</f>
        <v/>
      </c>
    </row>
    <row r="30">
      <c r="A30" t="inlineStr">
        <is>
          <t>Field capturers needed (cost already in done-for-you price)</t>
        </is>
      </c>
      <c r="D30" s="8">
        <f>ROUNDUP((D3+D5*2)/(Inputs!$C$27*Inputs!$C$28),0)</f>
        <v/>
      </c>
      <c r="E30" s="8">
        <f>ROUNDUP((E3+E5*2)/(Inputs!$C$27*Inputs!$C$28),0)</f>
        <v/>
      </c>
      <c r="F30" s="8">
        <f>ROUNDUP((F3+F5*2)/(Inputs!$C$27*Inputs!$C$28),0)</f>
        <v/>
      </c>
      <c r="G30" s="8">
        <f>ROUNDUP((G3+G5*2)/(Inputs!$C$27*Inputs!$C$28),0)</f>
        <v/>
      </c>
      <c r="H30" s="8">
        <f>ROUNDUP((H3+H5*2)/(Inputs!$C$27*Inputs!$C$28),0)</f>
        <v/>
      </c>
      <c r="I30" s="8">
        <f>ROUNDUP((I3+I5*2)/(Inputs!$C$27*Inputs!$C$28),0)</f>
        <v/>
      </c>
      <c r="J30" s="8">
        <f>ROUNDUP((J3+J5*2)/(Inputs!$C$27*Inputs!$C$28),0)</f>
        <v/>
      </c>
      <c r="K30" s="8">
        <f>ROUNDUP((K3+K5*2)/(Inputs!$C$27*Inputs!$C$28),0)</f>
        <v/>
      </c>
      <c r="L30" s="8">
        <f>ROUNDUP((L3+L5*2)/(Inputs!$C$27*Inputs!$C$28),0)</f>
        <v/>
      </c>
      <c r="M30" s="8">
        <f>ROUNDUP((M3+M5*2)/(Inputs!$C$27*Inputs!$C$28),0)</f>
        <v/>
      </c>
      <c r="N30" s="8">
        <f>ROUNDUP((N3+N5*2)/(Inputs!$C$27*Inputs!$C$28),0)</f>
        <v/>
      </c>
      <c r="O30" s="8">
        <f>ROUNDUP((O3+O5*2)/(Inputs!$C$27*Inputs!$C$28),0)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2" customWidth="1" min="2" max="2"/>
    <col width="14" customWidth="1" min="3" max="3"/>
    <col width="14" customWidth="1" min="4" max="4"/>
  </cols>
  <sheetData>
    <row r="1">
      <c r="A1" s="3" t="inlineStr">
        <is>
          <t>Question</t>
        </is>
      </c>
      <c r="B1" s="3" t="inlineStr"/>
      <c r="C1" s="3" t="inlineStr">
        <is>
          <t>Answer</t>
        </is>
      </c>
      <c r="D1" s="3" t="inlineStr">
        <is>
          <t>Unit</t>
        </is>
      </c>
    </row>
    <row r="2">
      <c r="A2" t="inlineStr">
        <is>
          <t>Fixed costs, lean (no salaries)</t>
        </is>
      </c>
      <c r="C2" s="8">
        <f>Inputs!$C$45+Inputs!$C$46+Inputs!$C$47+Inputs!$C$48</f>
        <v/>
      </c>
    </row>
    <row r="3">
      <c r="A3" t="inlineStr">
        <is>
          <t>Fixed costs with 2 sales + engineer + ops lead</t>
        </is>
      </c>
      <c r="C3" s="8">
        <f>$C$2+35000*2+100000+30000</f>
        <v/>
      </c>
    </row>
    <row r="4">
      <c r="A4" t="inlineStr">
        <is>
          <t>Done-for-you tours/month to cover lean costs</t>
        </is>
      </c>
      <c r="C4" s="8">
        <f>$C$2/PriceList!$G$4</f>
        <v/>
      </c>
    </row>
    <row r="5">
      <c r="A5" t="inlineStr">
        <is>
          <t>Done-for-you tours/month to cover full team</t>
        </is>
      </c>
      <c r="C5" s="8">
        <f>$C$3/PriceList!$G$4</f>
        <v/>
      </c>
    </row>
    <row r="6">
      <c r="A6" t="inlineStr">
        <is>
          <t>…or Pro subscribers to cover full team</t>
        </is>
      </c>
      <c r="C6" s="8">
        <f>$C$3/Plans!$N$3</f>
        <v/>
      </c>
    </row>
    <row r="7">
      <c r="A7" t="inlineStr">
        <is>
          <t>…or developer packages per month to cover full team</t>
        </is>
      </c>
      <c r="C7" s="8">
        <f>$C$3/PriceList!$G$7</f>
        <v/>
      </c>
    </row>
    <row r="8">
      <c r="A8" t="inlineStr">
        <is>
          <t>Homes one capturer can shoot per month</t>
        </is>
      </c>
      <c r="C8" s="8">
        <f>Inputs!$C$27*Inputs!$C$28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2026-10-16T18:40:51Z</dcterms:created>
  <dcterms:modified xmlns:dcterms="http://purl.org/dc/terms/" xmlns:xsi="http://www.w3.org/2001/XMLSchema-instance" xsi:type="dcterms:W3CDTF">2026-10-16T18:40:51Z</dcterms:modified>
</cp:coreProperties>
</file>